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An 3\VVSS_DP_15\Docs\Lab02\"/>
    </mc:Choice>
  </mc:AlternateContent>
  <bookViews>
    <workbookView xWindow="-108" yWindow="-108" windowWidth="19416" windowHeight="11496" activeTab="3"/>
  </bookViews>
  <sheets>
    <sheet name="Statement" sheetId="1" r:id="rId1"/>
    <sheet name="F01.ECP" sheetId="2" r:id="rId2"/>
    <sheet name="F01.BVA" sheetId="3" r:id="rId3"/>
    <sheet name="BBT-TCs" sheetId="4" r:id="rId4"/>
  </sheets>
  <calcPr calcId="162913"/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>
  <authors>
    <author>Author</author>
  </authors>
  <commentList>
    <comment ref="D22" authorId="0" shapeId="0">
      <text>
        <r>
          <rPr>
            <sz val="11"/>
            <color theme="1"/>
            <rFont val="Calibri"/>
            <family val="2"/>
            <scheme val="minor"/>
          </rPr>
          <t>Author:
max = 
Current Year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H18" authorId="0" shapeId="0">
      <text>
        <r>
          <rPr>
            <sz val="11"/>
            <color theme="1"/>
            <rFont val="Calibri"/>
            <family val="2"/>
            <scheme val="minor"/>
          </rPr>
          <t>Author:
fill with DONE or n/a after re-testing</t>
        </r>
      </text>
    </comment>
    <comment ref="M18" authorId="0" shapeId="0">
      <text>
        <r>
          <rPr>
            <sz val="11"/>
            <color theme="1"/>
            <rFont val="Calibri"/>
            <family val="2"/>
            <scheme val="minor"/>
          </rPr>
          <t xml:space="preserve">Author:
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<sst xmlns="http://schemas.openxmlformats.org/spreadsheetml/2006/main" count="245" uniqueCount="104">
  <si>
    <t>VVSS, Info Romana, 2025-2026</t>
  </si>
  <si>
    <t>Lab02. Black-box Testing. ECP, BVA - 22.03.2026</t>
  </si>
  <si>
    <t>Echipa</t>
  </si>
  <si>
    <t>Numele si prenumele</t>
  </si>
  <si>
    <t>Grupa</t>
  </si>
  <si>
    <t>Student 1:</t>
  </si>
  <si>
    <t>Tudorache Andrei-Adrian</t>
  </si>
  <si>
    <t>Student 2:</t>
  </si>
  <si>
    <t>Sorin Turculet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</si>
  <si>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</si>
  <si>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</si>
  <si>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</si>
  <si>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</si>
  <si>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</si>
  <si>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Evidenta produselor din aplicatia MyDrinkShop</t>
  </si>
  <si>
    <t>Aplicatia gestioneaza produse de bauturi. Se testeaza functionalitatea de actualizare a detaliilor unui produs.</t>
  </si>
  <si>
    <t>F01. actualizarea detaliilor unui produs (id, name, price, categorie, tip).</t>
  </si>
  <si>
    <t>Observații</t>
  </si>
  <si>
    <t xml:space="preserve">1. La proiectarea TCs se consideră o metodă care poate avea următoarea semnătură: </t>
  </si>
  <si>
    <t>updateProduct(int id, String name, double price, CategorieBautura categorie, TipBautura tip):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</si>
  <si>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</si>
  <si>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</si>
  <si>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</si>
  <si>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Exemplu pentru acest laborator: parametrii id si price; id este valid daca id &gt; 0, iar price este valid daca price &gt; 0.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</si>
  <si>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</si>
  <si>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</si>
  <si>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</si>
  <si>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</si>
  <si>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</si>
  <si>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</si>
  <si>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</si>
  <si>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</si>
  <si>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</si>
  <si>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</si>
  <si>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id &gt; 0</t>
  </si>
  <si>
    <t>id</t>
  </si>
  <si>
    <t>name</t>
  </si>
  <si>
    <t>price</t>
  </si>
  <si>
    <t>categorie</t>
  </si>
  <si>
    <t>tip</t>
  </si>
  <si>
    <t>-</t>
  </si>
  <si>
    <t>expected</t>
  </si>
  <si>
    <t>id &lt;= 0</t>
  </si>
  <si>
    <t>TC1_ECP</t>
  </si>
  <si>
    <t>1,3</t>
  </si>
  <si>
    <t>NumeNou</t>
  </si>
  <si>
    <t>JUICE</t>
  </si>
  <si>
    <t>WATER_BASED</t>
  </si>
  <si>
    <t>product updated</t>
  </si>
  <si>
    <t>price &gt; 0</t>
  </si>
  <si>
    <t>TC2_ECP</t>
  </si>
  <si>
    <t>2,3</t>
  </si>
  <si>
    <t>ValidationException: ID invalid!</t>
  </si>
  <si>
    <t>price &lt;= 0</t>
  </si>
  <si>
    <t>TC3_ECP</t>
  </si>
  <si>
    <t>1,4</t>
  </si>
  <si>
    <t>ValidationException: Pret invalid!</t>
  </si>
  <si>
    <t>TC4_ECP</t>
  </si>
  <si>
    <t>2,4</t>
  </si>
  <si>
    <t>ValidationException: ID invalid! + Pret invalid!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</si>
  <si>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</si>
  <si>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</si>
  <si>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</si>
  <si>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</si>
  <si>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</si>
  <si>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</si>
  <si>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</si>
  <si>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01. id = 0 (invalid boundary)</t>
  </si>
  <si>
    <t>expected result</t>
  </si>
  <si>
    <t>02. id = 1 (valid boundary)</t>
  </si>
  <si>
    <t>TC1_BVA</t>
  </si>
  <si>
    <t>02 + 06</t>
  </si>
  <si>
    <t>yes</t>
  </si>
  <si>
    <t>ProdusBVA</t>
  </si>
  <si>
    <t>03. id = 2 (valid interior)</t>
  </si>
  <si>
    <t>TC2_BVA</t>
  </si>
  <si>
    <t>03 + 07</t>
  </si>
  <si>
    <t>04. id = 0 (invalid boundary, cu price valid)</t>
  </si>
  <si>
    <t>TC3_BVA</t>
  </si>
  <si>
    <t>01 + 06</t>
  </si>
  <si>
    <t>05. price = 0.00 (invalid boundary)</t>
  </si>
  <si>
    <t>TC4_BVA</t>
  </si>
  <si>
    <t>05 + 02</t>
  </si>
  <si>
    <t>06. price = 0.01 (valid boundary)</t>
  </si>
  <si>
    <t>07. price = 1.00 (valid interior)</t>
  </si>
  <si>
    <t>BBT TCs</t>
  </si>
  <si>
    <t>Final        TC No.</t>
  </si>
  <si>
    <t>Req. ID</t>
  </si>
  <si>
    <t>ECP TCs</t>
  </si>
  <si>
    <t>BVA TCs</t>
  </si>
  <si>
    <t>actual result</t>
  </si>
  <si>
    <t>F01</t>
  </si>
  <si>
    <t>PASS</t>
  </si>
  <si>
    <t>Statistics</t>
  </si>
  <si>
    <t>Testing</t>
  </si>
  <si>
    <t>Debugging</t>
  </si>
  <si>
    <t>Re-testing</t>
  </si>
  <si>
    <t>Regression Testing</t>
  </si>
  <si>
    <t>#TCs to be run</t>
  </si>
  <si>
    <t>#TCs passed</t>
  </si>
  <si>
    <t>#TCs    failed</t>
  </si>
  <si>
    <t>#Bugs</t>
  </si>
  <si>
    <t>#Fixed Bugs</t>
  </si>
  <si>
    <t>Re-tested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</si>
</sst>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8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/>
    <xf numFmtId="0" fontId="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8" fillId="0" borderId="0" xfId="0" applyFont="1"/>
    <xf numFmtId="0" fontId="0" fillId="0" borderId="0" xfId="0" applyAlignment="1">
      <alignment vertical="center"/>
    </xf>
    <xf numFmtId="0" fontId="12" fillId="0" borderId="0" xfId="0" applyFont="1"/>
    <xf numFmtId="0" fontId="19" fillId="0" borderId="0" xfId="0" applyFont="1"/>
    <xf numFmtId="0" fontId="13" fillId="0" borderId="12" xfId="0" applyFont="1" applyBorder="1"/>
    <xf numFmtId="0" fontId="1" fillId="0" borderId="5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0" fillId="0" borderId="0" xfId="0"/>
    <xf numFmtId="0" fontId="1" fillId="4" borderId="1" xfId="0" applyFont="1" applyFill="1" applyBorder="1" applyAlignment="1">
      <alignment horizontal="center"/>
    </xf>
    <xf numFmtId="0" fontId="0" fillId="0" borderId="12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3" xfId="0" applyBorder="1"/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" fillId="0" borderId="21" xfId="0" applyFont="1" applyBorder="1" applyAlignment="1">
      <alignment horizontal="center" vertical="center"/>
    </xf>
    <xf numFmtId="0" fontId="0" fillId="0" borderId="26" xfId="0" applyBorder="1"/>
    <xf numFmtId="0" fontId="0" fillId="0" borderId="22" xfId="0" applyBorder="1"/>
    <xf numFmtId="0" fontId="17" fillId="2" borderId="7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0" fillId="0" borderId="14" xfId="0" applyBorder="1"/>
    <xf numFmtId="0" fontId="1" fillId="0" borderId="27" xfId="0" applyFont="1" applyBorder="1" applyAlignment="1">
      <alignment horizontal="center" vertical="center" wrapText="1"/>
    </xf>
    <xf numFmtId="0" fontId="0" fillId="0" borderId="16" xfId="0" applyBorder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15" xfId="0" applyBorder="1"/>
    <xf numFmtId="0" fontId="3" fillId="0" borderId="1" xfId="0" applyFont="1" applyBorder="1" applyAlignment="1">
      <alignment horizontal="center" vertical="center"/>
    </xf>
    <xf numFmtId="0" fontId="0" fillId="0" borderId="6" xfId="0" applyBorder="1"/>
    <xf numFmtId="0" fontId="3" fillId="3" borderId="16" xfId="0" applyFont="1" applyFill="1" applyBorder="1" applyAlignment="1">
      <alignment horizontal="center" vertical="center"/>
    </xf>
    <xf numFmtId="0" fontId="0" fillId="0" borderId="17" xfId="0" applyBorder="1"/>
    <xf numFmtId="0" fontId="1" fillId="0" borderId="9" xfId="0" applyFont="1" applyBorder="1" applyAlignment="1">
      <alignment horizontal="center" vertical="center" wrapText="1"/>
    </xf>
    <xf numFmtId="0" fontId="0" fillId="0" borderId="25" xfId="0" applyBorder="1"/>
    <xf numFmtId="0" fontId="8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19" xfId="0" applyBorder="1"/>
    <xf numFmtId="0" fontId="1" fillId="0" borderId="7" xfId="0" applyFont="1" applyBorder="1" applyAlignment="1">
      <alignment horizontal="center" vertical="center" wrapText="1"/>
    </xf>
    <xf numFmtId="0" fontId="0" fillId="0" borderId="18" xfId="0" applyBorder="1"/>
    <xf numFmtId="0" fontId="0" fillId="0" borderId="23" xfId="0" applyBorder="1"/>
    <xf numFmtId="0" fontId="0" fillId="0" borderId="4" xfId="0" applyBorder="1"/>
    <xf numFmtId="0" fontId="3" fillId="0" borderId="3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0" fillId="0" borderId="11" xfId="0" applyBorder="1"/>
    <xf numFmtId="0" fontId="1" fillId="0" borderId="7" xfId="0" applyFont="1" applyBorder="1" applyAlignment="1">
      <alignment horizontal="center" vertical="center"/>
    </xf>
    <xf numFmtId="0" fontId="0" fillId="0" borderId="20" xfId="0" applyBorder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26"/>
  <sheetViews>
    <sheetView workbookViewId="0">
      <selection activeCell="N14" sqref="N14"/>
    </sheetView>
  </sheetViews>
  <sheetFormatPr defaultRowHeight="14.4" x14ac:dyDescent="0.3"/>
  <cols>
    <col min="4" max="4" width="22.5546875" style="39" customWidth="1"/>
    <col min="9" max="9" width="32.88671875" style="39" customWidth="1"/>
    <col min="10" max="10" width="10.5546875" style="39" customWidth="1"/>
    <col min="12" max="12" width="12.109375" style="39" customWidth="1"/>
    <col min="14" max="14" width="20" style="39" customWidth="1"/>
  </cols>
  <sheetData>
    <row r="1" spans="2:10" x14ac:dyDescent="0.3">
      <c r="C1" s="57" t="s">
        <v>0</v>
      </c>
      <c r="D1" s="58"/>
      <c r="E1" s="58"/>
      <c r="F1" s="59"/>
      <c r="H1" s="37" t="s">
        <v>1</v>
      </c>
      <c r="I1" s="37"/>
      <c r="J1" s="37"/>
    </row>
    <row r="2" spans="2:10" x14ac:dyDescent="0.3">
      <c r="H2" s="60" t="s">
        <v>2</v>
      </c>
      <c r="I2" s="58"/>
      <c r="J2" s="59"/>
    </row>
    <row r="3" spans="2:10" x14ac:dyDescent="0.3">
      <c r="H3" s="53"/>
      <c r="I3" s="53" t="s">
        <v>3</v>
      </c>
      <c r="J3" s="53" t="s">
        <v>4</v>
      </c>
    </row>
    <row r="4" spans="2:10" x14ac:dyDescent="0.3">
      <c r="H4" s="53" t="s">
        <v>5</v>
      </c>
      <c r="I4" s="53" t="s">
        <v>6</v>
      </c>
      <c r="J4" s="53">
        <v>237</v>
      </c>
    </row>
    <row r="5" spans="2:10" x14ac:dyDescent="0.3">
      <c r="H5" s="53" t="s">
        <v>7</v>
      </c>
      <c r="I5" s="53" t="s">
        <v>8</v>
      </c>
      <c r="J5" s="53">
        <v>237</v>
      </c>
    </row>
    <row r="6" spans="2:10" x14ac:dyDescent="0.3">
      <c r="B6" s="25"/>
      <c r="H6" s="53" t="s">
        <v>9</v>
      </c>
      <c r="I6" s="53"/>
      <c r="J6" s="53"/>
    </row>
    <row r="7" spans="2:10" ht="14.4" customHeight="1" x14ac:dyDescent="0.3"/>
    <row r="8" spans="2:10" x14ac:dyDescent="0.3">
      <c r="B8" s="35" t="s">
        <v>10</v>
      </c>
    </row>
    <row r="9" spans="2:10" x14ac:dyDescent="0.3">
      <c r="B9" s="1" t="s">
        <v>11</v>
      </c>
    </row>
    <row r="10" spans="2:10" x14ac:dyDescent="0.3">
      <c r="B10" s="1" t="s">
        <v>12</v>
      </c>
    </row>
    <row r="11" spans="2:10" x14ac:dyDescent="0.3">
      <c r="B11" s="1" t="s">
        <v>13</v>
      </c>
    </row>
    <row r="12" spans="2:10" x14ac:dyDescent="0.3">
      <c r="B12" s="1"/>
      <c r="C12" s="1"/>
      <c r="D12" s="1"/>
      <c r="E12" s="1"/>
    </row>
    <row r="13" spans="2:10" x14ac:dyDescent="0.3">
      <c r="B13" s="1"/>
      <c r="C13" s="1"/>
      <c r="D13" s="1"/>
      <c r="E13" s="1"/>
    </row>
    <row r="14" spans="2:10" x14ac:dyDescent="0.3">
      <c r="B14" t="s">
        <v>14</v>
      </c>
      <c r="C14" s="1"/>
      <c r="D14" s="1"/>
      <c r="E14" s="1"/>
    </row>
    <row r="15" spans="2:10" x14ac:dyDescent="0.3">
      <c r="B15" t="s">
        <v>15</v>
      </c>
      <c r="C15" s="1"/>
      <c r="D15" s="1"/>
      <c r="E15" s="1"/>
    </row>
    <row r="16" spans="2:10" x14ac:dyDescent="0.3">
      <c r="B16" t="s">
        <v>16</v>
      </c>
      <c r="C16" s="1"/>
      <c r="D16" s="1"/>
      <c r="E16" s="1"/>
    </row>
    <row r="17" spans="1:15" x14ac:dyDescent="0.3">
      <c r="B17" s="1"/>
      <c r="D17" s="1"/>
      <c r="E17" s="1"/>
    </row>
    <row r="18" spans="1:15" x14ac:dyDescent="0.3">
      <c r="B18" s="35" t="s">
        <v>17</v>
      </c>
    </row>
    <row r="19" spans="1:15" x14ac:dyDescent="0.3">
      <c r="B19" s="1" t="s">
        <v>18</v>
      </c>
    </row>
    <row r="20" spans="1:15" x14ac:dyDescent="0.3">
      <c r="C20" s="33" t="s">
        <v>19</v>
      </c>
    </row>
    <row r="21" spans="1:15" x14ac:dyDescent="0.3">
      <c r="B21" s="1" t="s">
        <v>20</v>
      </c>
    </row>
    <row r="22" spans="1:15" x14ac:dyDescent="0.3">
      <c r="B22" s="1" t="s">
        <v>21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B23" s="1" t="s">
        <v>22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">
      <c r="A24" s="34"/>
      <c r="B24" s="55" t="s">
        <v>23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</row>
    <row r="26" spans="1:15" x14ac:dyDescent="0.3">
      <c r="C26" s="36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1:Q22"/>
  <sheetViews>
    <sheetView topLeftCell="C1" workbookViewId="0">
      <selection activeCell="O24" sqref="O24"/>
    </sheetView>
  </sheetViews>
  <sheetFormatPr defaultRowHeight="14.4" x14ac:dyDescent="0.3"/>
  <cols>
    <col min="2" max="2" width="10.109375" style="39" bestFit="1" customWidth="1"/>
    <col min="3" max="4" width="18.109375" style="39" bestFit="1" customWidth="1"/>
    <col min="5" max="5" width="19.88671875" style="39" bestFit="1" customWidth="1"/>
    <col min="6" max="6" width="5.88671875" style="39" customWidth="1"/>
    <col min="7" max="7" width="8" style="39" customWidth="1"/>
    <col min="8" max="8" width="11.88671875" style="39" bestFit="1" customWidth="1"/>
    <col min="9" max="9" width="11.5546875" style="39" bestFit="1" customWidth="1"/>
    <col min="10" max="10" width="25.5546875" style="39" bestFit="1" customWidth="1"/>
    <col min="11" max="11" width="9.88671875" style="39" bestFit="1" customWidth="1"/>
    <col min="12" max="12" width="12.88671875" style="39" bestFit="1" customWidth="1"/>
    <col min="13" max="13" width="8.88671875" style="39" bestFit="1" customWidth="1"/>
    <col min="16" max="16" width="29.44140625" style="39" customWidth="1"/>
    <col min="17" max="17" width="5" style="39" customWidth="1"/>
  </cols>
  <sheetData>
    <row r="1" spans="2:17" x14ac:dyDescent="0.3">
      <c r="B1" s="57" t="s">
        <v>0</v>
      </c>
      <c r="C1" s="58"/>
      <c r="D1" s="58"/>
      <c r="E1" s="59"/>
    </row>
    <row r="3" spans="2:17" x14ac:dyDescent="0.3">
      <c r="B3" s="72" t="s">
        <v>16</v>
      </c>
      <c r="C3" s="58"/>
      <c r="D3" s="58"/>
      <c r="E3" s="58"/>
      <c r="F3" s="58"/>
      <c r="G3" s="59"/>
    </row>
    <row r="5" spans="2:17" x14ac:dyDescent="0.3">
      <c r="B5" s="64" t="s">
        <v>24</v>
      </c>
      <c r="C5" s="58"/>
      <c r="D5" s="58"/>
      <c r="E5" s="59"/>
      <c r="G5" s="70" t="s">
        <v>25</v>
      </c>
      <c r="H5" s="58"/>
      <c r="I5" s="58"/>
      <c r="J5" s="58"/>
      <c r="K5" s="58"/>
      <c r="L5" s="58"/>
      <c r="M5" s="58"/>
      <c r="N5" s="58"/>
      <c r="O5" s="58"/>
      <c r="P5" s="58"/>
      <c r="Q5" s="59"/>
    </row>
    <row r="6" spans="2:17" x14ac:dyDescent="0.3">
      <c r="B6" s="40" t="s">
        <v>26</v>
      </c>
      <c r="C6" s="40" t="s">
        <v>27</v>
      </c>
      <c r="D6" s="40" t="s">
        <v>28</v>
      </c>
      <c r="E6" s="40" t="s">
        <v>29</v>
      </c>
      <c r="G6" s="66" t="s">
        <v>30</v>
      </c>
      <c r="H6" s="62" t="s">
        <v>31</v>
      </c>
      <c r="I6" s="62" t="s">
        <v>32</v>
      </c>
      <c r="J6" s="58"/>
      <c r="K6" s="58"/>
      <c r="L6" s="58"/>
      <c r="M6" s="58"/>
      <c r="N6" s="58"/>
      <c r="O6" s="59"/>
      <c r="P6" s="62" t="s">
        <v>33</v>
      </c>
      <c r="Q6" s="59"/>
    </row>
    <row r="7" spans="2:17" x14ac:dyDescent="0.3">
      <c r="B7" s="51">
        <v>1</v>
      </c>
      <c r="C7" s="65" t="s">
        <v>34</v>
      </c>
      <c r="D7" s="51" t="s">
        <v>34</v>
      </c>
      <c r="E7" s="51"/>
      <c r="G7" s="63"/>
      <c r="H7" s="63"/>
      <c r="I7" s="40" t="s">
        <v>35</v>
      </c>
      <c r="J7" s="40" t="s">
        <v>36</v>
      </c>
      <c r="K7" s="40" t="s">
        <v>37</v>
      </c>
      <c r="L7" s="40" t="s">
        <v>38</v>
      </c>
      <c r="M7" s="40" t="s">
        <v>39</v>
      </c>
      <c r="N7" s="62" t="s">
        <v>40</v>
      </c>
      <c r="O7" s="59"/>
      <c r="P7" s="62" t="s">
        <v>41</v>
      </c>
      <c r="Q7" s="59"/>
    </row>
    <row r="8" spans="2:17" x14ac:dyDescent="0.3">
      <c r="B8" s="51">
        <v>2</v>
      </c>
      <c r="C8" s="63"/>
      <c r="D8" s="51"/>
      <c r="E8" s="51" t="s">
        <v>42</v>
      </c>
      <c r="G8" s="40" t="s">
        <v>43</v>
      </c>
      <c r="H8" s="53" t="s">
        <v>44</v>
      </c>
      <c r="I8" s="53">
        <v>1</v>
      </c>
      <c r="J8" s="53" t="s">
        <v>45</v>
      </c>
      <c r="K8" s="53">
        <v>10.5</v>
      </c>
      <c r="L8" s="53" t="s">
        <v>46</v>
      </c>
      <c r="M8" s="53" t="s">
        <v>47</v>
      </c>
      <c r="N8" s="60" t="s">
        <v>40</v>
      </c>
      <c r="O8" s="59"/>
      <c r="P8" s="60" t="s">
        <v>48</v>
      </c>
      <c r="Q8" s="59"/>
    </row>
    <row r="9" spans="2:17" x14ac:dyDescent="0.3">
      <c r="B9" s="51">
        <v>3</v>
      </c>
      <c r="C9" s="65" t="s">
        <v>49</v>
      </c>
      <c r="D9" s="51" t="s">
        <v>49</v>
      </c>
      <c r="E9" s="51"/>
      <c r="G9" s="40" t="s">
        <v>50</v>
      </c>
      <c r="H9" s="53" t="s">
        <v>51</v>
      </c>
      <c r="I9" s="53">
        <v>0</v>
      </c>
      <c r="J9" s="53" t="s">
        <v>45</v>
      </c>
      <c r="K9" s="53">
        <v>10.5</v>
      </c>
      <c r="L9" s="53" t="s">
        <v>46</v>
      </c>
      <c r="M9" s="53" t="s">
        <v>47</v>
      </c>
      <c r="N9" s="60" t="s">
        <v>40</v>
      </c>
      <c r="O9" s="59"/>
      <c r="P9" s="60" t="s">
        <v>52</v>
      </c>
      <c r="Q9" s="59"/>
    </row>
    <row r="10" spans="2:17" x14ac:dyDescent="0.3">
      <c r="B10" s="51">
        <v>4</v>
      </c>
      <c r="C10" s="63"/>
      <c r="D10" s="51"/>
      <c r="E10" s="51" t="s">
        <v>53</v>
      </c>
      <c r="G10" s="24" t="s">
        <v>54</v>
      </c>
      <c r="H10" s="10" t="s">
        <v>55</v>
      </c>
      <c r="I10" s="10">
        <v>1</v>
      </c>
      <c r="J10" s="10" t="s">
        <v>45</v>
      </c>
      <c r="K10" s="10">
        <v>0</v>
      </c>
      <c r="L10" s="10" t="s">
        <v>46</v>
      </c>
      <c r="M10" s="10" t="s">
        <v>47</v>
      </c>
      <c r="N10" s="61" t="s">
        <v>40</v>
      </c>
      <c r="O10" s="59"/>
      <c r="P10" s="61" t="s">
        <v>56</v>
      </c>
      <c r="Q10" s="59"/>
    </row>
    <row r="11" spans="2:17" ht="15" customHeight="1" x14ac:dyDescent="0.3">
      <c r="B11" s="51"/>
      <c r="C11" s="65"/>
      <c r="D11" s="51"/>
      <c r="E11" s="51"/>
      <c r="G11" s="24" t="s">
        <v>57</v>
      </c>
      <c r="H11" s="10" t="s">
        <v>58</v>
      </c>
      <c r="I11" s="10">
        <v>0</v>
      </c>
      <c r="J11" s="10" t="s">
        <v>45</v>
      </c>
      <c r="K11" s="10">
        <v>0</v>
      </c>
      <c r="L11" s="10" t="s">
        <v>46</v>
      </c>
      <c r="M11" s="10" t="s">
        <v>47</v>
      </c>
      <c r="N11" s="61" t="s">
        <v>40</v>
      </c>
      <c r="O11" s="59"/>
      <c r="P11" s="61" t="s">
        <v>59</v>
      </c>
      <c r="Q11" s="59"/>
    </row>
    <row r="12" spans="2:17" x14ac:dyDescent="0.3">
      <c r="B12" s="51"/>
      <c r="C12" s="63"/>
      <c r="D12" s="51"/>
      <c r="E12" s="51"/>
      <c r="G12" s="9"/>
      <c r="H12" s="6"/>
      <c r="I12" s="6"/>
      <c r="J12" s="6"/>
      <c r="K12" s="6"/>
      <c r="L12" s="6"/>
      <c r="M12" s="6"/>
      <c r="N12" s="6"/>
      <c r="O12" s="6"/>
      <c r="P12" s="71"/>
      <c r="Q12" s="59"/>
    </row>
    <row r="13" spans="2:17" x14ac:dyDescent="0.3">
      <c r="B13" s="51"/>
      <c r="C13" s="65"/>
      <c r="D13" s="51"/>
      <c r="E13" s="51"/>
      <c r="G13" s="9"/>
      <c r="H13" s="6"/>
      <c r="I13" s="6"/>
      <c r="J13" s="6"/>
      <c r="K13" s="6"/>
      <c r="L13" s="6"/>
      <c r="M13" s="6"/>
      <c r="N13" s="71"/>
      <c r="O13" s="59"/>
      <c r="P13" s="71"/>
      <c r="Q13" s="59"/>
    </row>
    <row r="14" spans="2:17" x14ac:dyDescent="0.3">
      <c r="B14" s="51"/>
      <c r="C14" s="63"/>
      <c r="D14" s="51"/>
      <c r="E14" s="51"/>
      <c r="G14" s="14"/>
      <c r="H14" s="13"/>
      <c r="I14" s="13"/>
      <c r="J14" s="13"/>
      <c r="K14" s="13"/>
      <c r="L14" s="13"/>
      <c r="M14" s="13"/>
      <c r="N14" s="67"/>
      <c r="O14" s="59"/>
      <c r="P14" s="68"/>
      <c r="Q14" s="59"/>
    </row>
    <row r="15" spans="2:17" x14ac:dyDescent="0.3">
      <c r="B15" s="51"/>
      <c r="C15" s="65"/>
      <c r="D15" s="51"/>
      <c r="E15" s="51"/>
      <c r="G15" s="14"/>
      <c r="H15" s="13"/>
      <c r="I15" s="13"/>
      <c r="J15" s="13"/>
      <c r="K15" s="13"/>
      <c r="L15" s="13"/>
      <c r="M15" s="13"/>
      <c r="N15" s="60"/>
      <c r="O15" s="59"/>
      <c r="P15" s="68"/>
      <c r="Q15" s="59"/>
    </row>
    <row r="16" spans="2:17" x14ac:dyDescent="0.3">
      <c r="B16" s="51"/>
      <c r="C16" s="63"/>
      <c r="D16" s="51"/>
      <c r="E16" s="51"/>
      <c r="G16" s="14"/>
      <c r="H16" s="13"/>
      <c r="I16" s="13"/>
      <c r="J16" s="13"/>
      <c r="K16" s="13"/>
      <c r="L16" s="13"/>
      <c r="M16" s="13"/>
      <c r="N16" s="60"/>
      <c r="O16" s="59"/>
      <c r="P16" s="68"/>
      <c r="Q16" s="59"/>
    </row>
    <row r="17" spans="2:17" x14ac:dyDescent="0.3">
      <c r="B17" s="51"/>
      <c r="C17" s="65"/>
      <c r="D17" s="51"/>
      <c r="E17" s="51"/>
      <c r="G17" s="14"/>
      <c r="H17" s="13"/>
      <c r="I17" s="13"/>
      <c r="J17" s="13"/>
      <c r="K17" s="13"/>
      <c r="L17" s="13"/>
      <c r="M17" s="13"/>
      <c r="N17" s="60"/>
      <c r="O17" s="59"/>
      <c r="P17" s="68"/>
      <c r="Q17" s="59"/>
    </row>
    <row r="18" spans="2:17" x14ac:dyDescent="0.3">
      <c r="B18" s="51"/>
      <c r="C18" s="63"/>
      <c r="D18" s="51"/>
      <c r="E18" s="51"/>
      <c r="G18" s="14"/>
      <c r="H18" s="13"/>
      <c r="I18" s="13"/>
      <c r="J18" s="13"/>
      <c r="K18" s="13"/>
      <c r="L18" s="13"/>
      <c r="M18" s="13"/>
      <c r="N18" s="60"/>
      <c r="O18" s="59"/>
      <c r="P18" s="68"/>
      <c r="Q18" s="59"/>
    </row>
    <row r="19" spans="2:17" x14ac:dyDescent="0.3">
      <c r="B19" s="51"/>
      <c r="C19" s="65"/>
      <c r="D19" s="51"/>
      <c r="E19" s="51"/>
      <c r="G19" s="40"/>
      <c r="H19" s="53"/>
      <c r="I19" s="53"/>
      <c r="J19" s="53"/>
      <c r="K19" s="53"/>
      <c r="L19" s="53"/>
      <c r="M19" s="53"/>
      <c r="N19" s="60"/>
      <c r="O19" s="59"/>
      <c r="P19" s="68"/>
      <c r="Q19" s="59"/>
    </row>
    <row r="20" spans="2:17" x14ac:dyDescent="0.3">
      <c r="B20" s="51"/>
      <c r="C20" s="63"/>
      <c r="D20" s="51"/>
      <c r="E20" s="51"/>
    </row>
    <row r="22" spans="2:17" x14ac:dyDescent="0.3">
      <c r="F22" s="69"/>
      <c r="G22" s="56"/>
    </row>
  </sheetData>
  <mergeCells count="41">
    <mergeCell ref="B3:G3"/>
    <mergeCell ref="C19:C20"/>
    <mergeCell ref="B1:E1"/>
    <mergeCell ref="P12:Q12"/>
    <mergeCell ref="N15:O15"/>
    <mergeCell ref="P15:Q15"/>
    <mergeCell ref="C15:C16"/>
    <mergeCell ref="P14:Q14"/>
    <mergeCell ref="F22:G22"/>
    <mergeCell ref="N19:O19"/>
    <mergeCell ref="G5:Q5"/>
    <mergeCell ref="P19:Q19"/>
    <mergeCell ref="P13:Q13"/>
    <mergeCell ref="N13:O13"/>
    <mergeCell ref="P18:Q18"/>
    <mergeCell ref="N9:O9"/>
    <mergeCell ref="N18:O18"/>
    <mergeCell ref="P11:Q11"/>
    <mergeCell ref="I6:O6"/>
    <mergeCell ref="C11:C12"/>
    <mergeCell ref="N8:O8"/>
    <mergeCell ref="N14:O14"/>
    <mergeCell ref="N17:O17"/>
    <mergeCell ref="P17:Q17"/>
    <mergeCell ref="P7:Q7"/>
    <mergeCell ref="C17:C18"/>
    <mergeCell ref="P16:Q16"/>
    <mergeCell ref="N10:O10"/>
    <mergeCell ref="C7:C8"/>
    <mergeCell ref="C13:C14"/>
    <mergeCell ref="B5:E5"/>
    <mergeCell ref="P9:Q9"/>
    <mergeCell ref="C9:C10"/>
    <mergeCell ref="P6:Q6"/>
    <mergeCell ref="P8:Q8"/>
    <mergeCell ref="G6:G7"/>
    <mergeCell ref="N11:O11"/>
    <mergeCell ref="N7:O7"/>
    <mergeCell ref="N16:O16"/>
    <mergeCell ref="P10:Q10"/>
    <mergeCell ref="H6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B1:R30"/>
  <sheetViews>
    <sheetView topLeftCell="C1" workbookViewId="0">
      <selection activeCell="L18" sqref="L18"/>
    </sheetView>
  </sheetViews>
  <sheetFormatPr defaultRowHeight="14.4" x14ac:dyDescent="0.3"/>
  <cols>
    <col min="2" max="2" width="11.33203125" style="39" bestFit="1" customWidth="1"/>
    <col min="3" max="3" width="12.5546875" style="39" bestFit="1" customWidth="1"/>
    <col min="4" max="4" width="30.109375" style="39" bestFit="1" customWidth="1"/>
    <col min="5" max="5" width="7" style="39" customWidth="1"/>
    <col min="6" max="6" width="5.5546875" style="39" customWidth="1"/>
    <col min="7" max="7" width="9.44140625" style="39" customWidth="1"/>
    <col min="9" max="9" width="10" style="39" customWidth="1"/>
    <col min="10" max="10" width="10.109375" style="39" bestFit="1" customWidth="1"/>
    <col min="11" max="11" width="9.5546875" style="39" customWidth="1"/>
    <col min="12" max="12" width="18.33203125" style="39" bestFit="1" customWidth="1"/>
    <col min="13" max="13" width="7.33203125" style="39" bestFit="1" customWidth="1"/>
    <col min="14" max="14" width="12.88671875" style="39" bestFit="1" customWidth="1"/>
    <col min="15" max="15" width="8.88671875" style="39" bestFit="1" customWidth="1"/>
    <col min="16" max="16" width="18.109375" style="39" bestFit="1" customWidth="1"/>
    <col min="17" max="17" width="23.33203125" style="39" customWidth="1"/>
    <col min="18" max="18" width="9.44140625" style="39" customWidth="1"/>
  </cols>
  <sheetData>
    <row r="1" spans="2:18" x14ac:dyDescent="0.3">
      <c r="B1" s="57" t="s">
        <v>0</v>
      </c>
      <c r="C1" s="58"/>
      <c r="D1" s="58"/>
      <c r="E1" s="59"/>
    </row>
    <row r="3" spans="2:18" x14ac:dyDescent="0.3">
      <c r="B3" s="72" t="s">
        <v>16</v>
      </c>
      <c r="C3" s="58"/>
      <c r="D3" s="58"/>
      <c r="E3" s="58"/>
      <c r="F3" s="58"/>
      <c r="G3" s="59"/>
    </row>
    <row r="5" spans="2:18" x14ac:dyDescent="0.3">
      <c r="B5" s="77" t="s">
        <v>60</v>
      </c>
      <c r="C5" s="58"/>
      <c r="D5" s="59"/>
      <c r="E5" s="46"/>
      <c r="G5" s="70" t="s">
        <v>61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9"/>
    </row>
    <row r="6" spans="2:18" ht="14.4" customHeight="1" x14ac:dyDescent="0.3">
      <c r="B6" s="51" t="s">
        <v>62</v>
      </c>
      <c r="C6" s="51" t="s">
        <v>27</v>
      </c>
      <c r="D6" s="51" t="s">
        <v>60</v>
      </c>
      <c r="E6" s="7"/>
      <c r="G6" s="66" t="s">
        <v>63</v>
      </c>
      <c r="H6" s="66" t="s">
        <v>64</v>
      </c>
      <c r="I6" s="66" t="s">
        <v>65</v>
      </c>
      <c r="J6" s="62" t="s">
        <v>66</v>
      </c>
      <c r="K6" s="78" t="s">
        <v>32</v>
      </c>
      <c r="L6" s="58"/>
      <c r="M6" s="58"/>
      <c r="N6" s="58"/>
      <c r="O6" s="58"/>
      <c r="P6" s="59"/>
      <c r="Q6" s="78" t="s">
        <v>33</v>
      </c>
      <c r="R6" s="59"/>
    </row>
    <row r="7" spans="2:18" ht="29.1" customHeight="1" x14ac:dyDescent="0.3">
      <c r="B7" s="65">
        <v>1</v>
      </c>
      <c r="C7" s="75" t="s">
        <v>34</v>
      </c>
      <c r="D7" s="53" t="s">
        <v>67</v>
      </c>
      <c r="G7" s="63"/>
      <c r="H7" s="63"/>
      <c r="I7" s="63"/>
      <c r="J7" s="63"/>
      <c r="K7" s="40" t="s">
        <v>35</v>
      </c>
      <c r="L7" s="40" t="s">
        <v>36</v>
      </c>
      <c r="M7" s="41" t="s">
        <v>37</v>
      </c>
      <c r="N7" s="41" t="s">
        <v>38</v>
      </c>
      <c r="O7" s="40" t="s">
        <v>39</v>
      </c>
      <c r="P7" s="40" t="s">
        <v>40</v>
      </c>
      <c r="Q7" s="62" t="s">
        <v>68</v>
      </c>
      <c r="R7" s="59"/>
    </row>
    <row r="8" spans="2:18" x14ac:dyDescent="0.3">
      <c r="B8" s="74"/>
      <c r="C8" s="74"/>
      <c r="D8" s="53" t="s">
        <v>69</v>
      </c>
      <c r="G8" s="40" t="s">
        <v>70</v>
      </c>
      <c r="H8" s="12" t="s">
        <v>71</v>
      </c>
      <c r="I8" s="43" t="s">
        <v>43</v>
      </c>
      <c r="J8" s="43" t="s">
        <v>72</v>
      </c>
      <c r="K8" s="23">
        <v>1</v>
      </c>
      <c r="L8" s="23" t="s">
        <v>73</v>
      </c>
      <c r="M8" s="23">
        <v>0.01</v>
      </c>
      <c r="N8" s="23" t="s">
        <v>46</v>
      </c>
      <c r="O8" s="23" t="s">
        <v>47</v>
      </c>
      <c r="P8" s="23" t="s">
        <v>40</v>
      </c>
      <c r="Q8" s="73" t="s">
        <v>48</v>
      </c>
      <c r="R8" s="59"/>
    </row>
    <row r="9" spans="2:18" x14ac:dyDescent="0.3">
      <c r="B9" s="74"/>
      <c r="C9" s="74"/>
      <c r="D9" s="53" t="s">
        <v>74</v>
      </c>
      <c r="G9" s="40" t="s">
        <v>75</v>
      </c>
      <c r="H9" s="51" t="s">
        <v>76</v>
      </c>
      <c r="I9" s="54" t="s">
        <v>43</v>
      </c>
      <c r="J9" s="54" t="s">
        <v>72</v>
      </c>
      <c r="K9" s="52">
        <v>2</v>
      </c>
      <c r="L9" s="53" t="s">
        <v>73</v>
      </c>
      <c r="M9" s="53">
        <v>1</v>
      </c>
      <c r="N9" s="53" t="s">
        <v>46</v>
      </c>
      <c r="O9" s="53" t="s">
        <v>47</v>
      </c>
      <c r="P9" s="13" t="s">
        <v>40</v>
      </c>
      <c r="Q9" s="60" t="s">
        <v>48</v>
      </c>
      <c r="R9" s="59"/>
    </row>
    <row r="10" spans="2:18" x14ac:dyDescent="0.3">
      <c r="B10" s="74"/>
      <c r="C10" s="74"/>
      <c r="D10" s="53" t="s">
        <v>77</v>
      </c>
      <c r="G10" s="40" t="s">
        <v>78</v>
      </c>
      <c r="H10" s="12" t="s">
        <v>79</v>
      </c>
      <c r="I10" s="43" t="s">
        <v>50</v>
      </c>
      <c r="J10" s="43" t="s">
        <v>72</v>
      </c>
      <c r="K10" s="22">
        <v>0</v>
      </c>
      <c r="L10" s="23" t="s">
        <v>73</v>
      </c>
      <c r="M10" s="23">
        <v>0.01</v>
      </c>
      <c r="N10" s="23" t="s">
        <v>46</v>
      </c>
      <c r="O10" s="23" t="s">
        <v>47</v>
      </c>
      <c r="P10" s="23" t="s">
        <v>40</v>
      </c>
      <c r="Q10" s="73" t="s">
        <v>52</v>
      </c>
      <c r="R10" s="59"/>
    </row>
    <row r="11" spans="2:18" x14ac:dyDescent="0.3">
      <c r="B11" s="74"/>
      <c r="C11" s="74"/>
      <c r="D11" s="53"/>
      <c r="G11" s="40"/>
      <c r="H11" s="12"/>
      <c r="I11" s="43"/>
      <c r="J11" s="43"/>
      <c r="K11" s="22"/>
      <c r="L11" s="23"/>
      <c r="M11" s="23"/>
      <c r="N11" s="23"/>
      <c r="O11" s="23"/>
      <c r="P11" s="23"/>
      <c r="Q11" s="73"/>
      <c r="R11" s="59"/>
    </row>
    <row r="12" spans="2:18" x14ac:dyDescent="0.3">
      <c r="B12" s="63"/>
      <c r="C12" s="63"/>
      <c r="D12" s="53"/>
      <c r="G12" s="40"/>
      <c r="H12" s="12"/>
      <c r="I12" s="43"/>
      <c r="J12" s="43"/>
      <c r="K12" s="22"/>
      <c r="L12" s="23"/>
      <c r="M12" s="23"/>
      <c r="N12" s="23"/>
      <c r="O12" s="23"/>
      <c r="P12" s="23"/>
      <c r="Q12" s="73"/>
      <c r="R12" s="59"/>
    </row>
    <row r="13" spans="2:18" x14ac:dyDescent="0.3">
      <c r="B13" s="65">
        <v>2</v>
      </c>
      <c r="C13" s="65" t="s">
        <v>49</v>
      </c>
      <c r="D13" s="53" t="s">
        <v>80</v>
      </c>
      <c r="G13" s="14" t="s">
        <v>81</v>
      </c>
      <c r="H13" s="15" t="s">
        <v>82</v>
      </c>
      <c r="I13" s="42" t="s">
        <v>54</v>
      </c>
      <c r="J13" s="42" t="s">
        <v>72</v>
      </c>
      <c r="K13" s="16">
        <v>1</v>
      </c>
      <c r="L13" s="13" t="s">
        <v>73</v>
      </c>
      <c r="M13" s="13">
        <v>0</v>
      </c>
      <c r="N13" s="13" t="s">
        <v>46</v>
      </c>
      <c r="O13" s="13" t="s">
        <v>47</v>
      </c>
      <c r="P13" s="13" t="s">
        <v>40</v>
      </c>
      <c r="Q13" s="71" t="s">
        <v>56</v>
      </c>
      <c r="R13" s="59"/>
    </row>
    <row r="14" spans="2:18" x14ac:dyDescent="0.3">
      <c r="B14" s="74"/>
      <c r="C14" s="74"/>
      <c r="D14" s="53" t="s">
        <v>83</v>
      </c>
      <c r="G14" s="40"/>
      <c r="H14" s="12"/>
      <c r="I14" s="43"/>
      <c r="J14" s="43"/>
      <c r="K14" s="23"/>
      <c r="L14" s="23"/>
      <c r="M14" s="23"/>
      <c r="N14" s="23"/>
      <c r="O14" s="23"/>
      <c r="P14" s="23"/>
      <c r="Q14" s="73"/>
      <c r="R14" s="59"/>
    </row>
    <row r="15" spans="2:18" x14ac:dyDescent="0.3">
      <c r="B15" s="74"/>
      <c r="C15" s="74"/>
      <c r="D15" s="53" t="s">
        <v>84</v>
      </c>
      <c r="G15" s="40"/>
      <c r="H15" s="12"/>
      <c r="I15" s="43"/>
      <c r="J15" s="43"/>
      <c r="K15" s="23"/>
      <c r="L15" s="23"/>
      <c r="M15" s="23"/>
      <c r="N15" s="23"/>
      <c r="O15" s="23"/>
      <c r="P15" s="23"/>
      <c r="Q15" s="73"/>
      <c r="R15" s="59"/>
    </row>
    <row r="16" spans="2:18" x14ac:dyDescent="0.3">
      <c r="B16" s="74"/>
      <c r="C16" s="74"/>
      <c r="D16" s="53"/>
      <c r="G16" s="40"/>
      <c r="H16" s="12"/>
      <c r="I16" s="43"/>
      <c r="J16" s="43"/>
      <c r="K16" s="23"/>
      <c r="L16" s="23"/>
      <c r="M16" s="23"/>
      <c r="N16" s="23"/>
      <c r="O16" s="23"/>
      <c r="P16" s="23"/>
      <c r="Q16" s="73"/>
      <c r="R16" s="59"/>
    </row>
    <row r="17" spans="2:18" x14ac:dyDescent="0.3">
      <c r="B17" s="74"/>
      <c r="C17" s="74"/>
      <c r="D17" s="53"/>
      <c r="G17" s="40"/>
      <c r="H17" s="12"/>
      <c r="I17" s="43"/>
      <c r="J17" s="43"/>
      <c r="K17" s="23"/>
      <c r="L17" s="23"/>
      <c r="M17" s="23"/>
      <c r="N17" s="23"/>
      <c r="O17" s="23"/>
      <c r="P17" s="23"/>
      <c r="Q17" s="73"/>
      <c r="R17" s="59"/>
    </row>
    <row r="18" spans="2:18" x14ac:dyDescent="0.3">
      <c r="B18" s="63"/>
      <c r="C18" s="63"/>
      <c r="D18" s="53"/>
      <c r="G18" s="40"/>
      <c r="H18" s="12"/>
      <c r="I18" s="43"/>
      <c r="J18" s="43"/>
      <c r="K18" s="23"/>
      <c r="L18" s="23"/>
      <c r="M18" s="23"/>
      <c r="N18" s="23"/>
      <c r="O18" s="23"/>
      <c r="P18" s="23"/>
      <c r="Q18" s="73"/>
      <c r="R18" s="59"/>
    </row>
    <row r="19" spans="2:18" x14ac:dyDescent="0.3">
      <c r="B19" s="65"/>
      <c r="C19" s="75"/>
      <c r="D19" s="53"/>
      <c r="G19" s="40"/>
      <c r="H19" s="12"/>
      <c r="I19" s="43"/>
      <c r="J19" s="43"/>
      <c r="K19" s="23"/>
      <c r="L19" s="23"/>
      <c r="M19" s="23"/>
      <c r="N19" s="23"/>
      <c r="O19" s="23"/>
      <c r="P19" s="23"/>
      <c r="Q19" s="73"/>
      <c r="R19" s="59"/>
    </row>
    <row r="20" spans="2:18" x14ac:dyDescent="0.3">
      <c r="B20" s="74"/>
      <c r="C20" s="74"/>
      <c r="D20" s="53"/>
      <c r="G20" s="40"/>
      <c r="H20" s="12"/>
      <c r="I20" s="43"/>
      <c r="J20" s="43"/>
      <c r="K20" s="23"/>
      <c r="L20" s="23"/>
      <c r="M20" s="23"/>
      <c r="N20" s="23"/>
      <c r="O20" s="23"/>
      <c r="P20" s="23"/>
      <c r="Q20" s="73"/>
      <c r="R20" s="59"/>
    </row>
    <row r="21" spans="2:18" x14ac:dyDescent="0.3">
      <c r="B21" s="74"/>
      <c r="C21" s="74"/>
      <c r="D21" s="53"/>
      <c r="G21" s="40"/>
      <c r="H21" s="12"/>
      <c r="I21" s="43"/>
      <c r="J21" s="43"/>
      <c r="K21" s="23"/>
      <c r="L21" s="23"/>
      <c r="M21" s="23"/>
      <c r="N21" s="23"/>
      <c r="O21" s="23"/>
      <c r="P21" s="23"/>
      <c r="Q21" s="73"/>
      <c r="R21" s="59"/>
    </row>
    <row r="22" spans="2:18" x14ac:dyDescent="0.3">
      <c r="B22" s="74"/>
      <c r="C22" s="74"/>
      <c r="D22" s="53"/>
      <c r="G22" s="40"/>
      <c r="H22" s="12"/>
      <c r="I22" s="43"/>
      <c r="J22" s="43"/>
      <c r="K22" s="23"/>
      <c r="L22" s="23"/>
      <c r="M22" s="23"/>
      <c r="N22" s="23"/>
      <c r="O22" s="23"/>
      <c r="P22" s="23"/>
      <c r="Q22" s="73"/>
      <c r="R22" s="59"/>
    </row>
    <row r="23" spans="2:18" x14ac:dyDescent="0.3">
      <c r="B23" s="74"/>
      <c r="C23" s="74"/>
      <c r="D23" s="53"/>
      <c r="G23" s="40"/>
      <c r="H23" s="12"/>
      <c r="I23" s="43"/>
      <c r="J23" s="43"/>
      <c r="K23" s="23"/>
      <c r="L23" s="23"/>
      <c r="M23" s="23"/>
      <c r="N23" s="23"/>
      <c r="O23" s="23"/>
      <c r="P23" s="23"/>
      <c r="Q23" s="73"/>
      <c r="R23" s="59"/>
    </row>
    <row r="24" spans="2:18" x14ac:dyDescent="0.3">
      <c r="B24" s="63"/>
      <c r="C24" s="63"/>
      <c r="D24" s="53"/>
      <c r="G24" s="40"/>
      <c r="H24" s="12"/>
      <c r="I24" s="43"/>
      <c r="J24" s="43"/>
      <c r="K24" s="23"/>
      <c r="L24" s="23"/>
      <c r="M24" s="23"/>
      <c r="N24" s="23"/>
      <c r="O24" s="23"/>
      <c r="P24" s="23"/>
      <c r="Q24" s="73"/>
      <c r="R24" s="59"/>
    </row>
    <row r="25" spans="2:18" x14ac:dyDescent="0.3">
      <c r="B25" s="65"/>
      <c r="C25" s="75"/>
      <c r="D25" s="53"/>
      <c r="G25" s="40"/>
      <c r="H25" s="12"/>
      <c r="I25" s="43"/>
      <c r="J25" s="43"/>
      <c r="K25" s="23"/>
      <c r="L25" s="23"/>
      <c r="M25" s="23"/>
      <c r="N25" s="23"/>
      <c r="O25" s="23"/>
      <c r="P25" s="23"/>
      <c r="Q25" s="73"/>
      <c r="R25" s="59"/>
    </row>
    <row r="26" spans="2:18" x14ac:dyDescent="0.3">
      <c r="B26" s="74"/>
      <c r="C26" s="74"/>
      <c r="D26" s="53"/>
    </row>
    <row r="27" spans="2:18" x14ac:dyDescent="0.3">
      <c r="B27" s="74"/>
      <c r="C27" s="74"/>
      <c r="D27" s="53"/>
    </row>
    <row r="28" spans="2:18" x14ac:dyDescent="0.3">
      <c r="B28" s="74"/>
      <c r="C28" s="74"/>
      <c r="D28" s="53"/>
      <c r="G28" s="69"/>
      <c r="H28" s="56"/>
      <c r="I28" s="76"/>
      <c r="J28" s="56"/>
      <c r="K28" s="56"/>
      <c r="L28" s="56"/>
      <c r="M28" s="56"/>
      <c r="N28" s="44"/>
    </row>
    <row r="29" spans="2:18" x14ac:dyDescent="0.3">
      <c r="B29" s="74"/>
      <c r="C29" s="74"/>
      <c r="D29" s="53"/>
      <c r="I29" s="79"/>
      <c r="J29" s="56"/>
      <c r="K29" s="56"/>
      <c r="L29" s="56"/>
      <c r="M29" s="56"/>
      <c r="N29" s="45"/>
    </row>
    <row r="30" spans="2:18" x14ac:dyDescent="0.3">
      <c r="B30" s="63"/>
      <c r="C30" s="63"/>
      <c r="D30" s="53"/>
    </row>
  </sheetData>
  <mergeCells count="40">
    <mergeCell ref="B3:G3"/>
    <mergeCell ref="B1:E1"/>
    <mergeCell ref="Q17:R17"/>
    <mergeCell ref="I29:M29"/>
    <mergeCell ref="Q11:R11"/>
    <mergeCell ref="C7:C12"/>
    <mergeCell ref="I6:I7"/>
    <mergeCell ref="C13:C18"/>
    <mergeCell ref="B5:D5"/>
    <mergeCell ref="B13:B18"/>
    <mergeCell ref="Q15:R15"/>
    <mergeCell ref="Q6:R6"/>
    <mergeCell ref="K6:P6"/>
    <mergeCell ref="Q9:R9"/>
    <mergeCell ref="G5:R5"/>
    <mergeCell ref="Q20:R20"/>
    <mergeCell ref="Q14:R14"/>
    <mergeCell ref="G6:G7"/>
    <mergeCell ref="Q10:R10"/>
    <mergeCell ref="Q19:R19"/>
    <mergeCell ref="B7:B12"/>
    <mergeCell ref="B25:B30"/>
    <mergeCell ref="H6:H7"/>
    <mergeCell ref="Q24:R24"/>
    <mergeCell ref="J6:J7"/>
    <mergeCell ref="Q18:R18"/>
    <mergeCell ref="Q8:R8"/>
    <mergeCell ref="Q23:R23"/>
    <mergeCell ref="C25:C30"/>
    <mergeCell ref="G28:H28"/>
    <mergeCell ref="I28:M28"/>
    <mergeCell ref="Q22:R22"/>
    <mergeCell ref="B19:B24"/>
    <mergeCell ref="C19:C24"/>
    <mergeCell ref="Q13:R13"/>
    <mergeCell ref="Q16:R16"/>
    <mergeCell ref="Q7:R7"/>
    <mergeCell ref="Q25:R25"/>
    <mergeCell ref="Q21:R21"/>
    <mergeCell ref="Q12:R12"/>
  </mergeCell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</sheetPr>
  <dimension ref="B1:P21"/>
  <sheetViews>
    <sheetView tabSelected="1" workbookViewId="0">
      <selection activeCell="K24" sqref="K24"/>
    </sheetView>
  </sheetViews>
  <sheetFormatPr defaultRowHeight="14.4" x14ac:dyDescent="0.3"/>
  <cols>
    <col min="6" max="6" width="12.109375" style="39" bestFit="1" customWidth="1"/>
    <col min="7" max="7" width="17.5546875" style="39" bestFit="1" customWidth="1"/>
    <col min="8" max="8" width="10.5546875" style="39" customWidth="1"/>
    <col min="9" max="9" width="13.109375" style="39" bestFit="1" customWidth="1"/>
    <col min="10" max="10" width="8.88671875" style="39" bestFit="1" customWidth="1"/>
    <col min="12" max="12" width="9.88671875" style="39" customWidth="1"/>
    <col min="13" max="13" width="30.33203125" style="39" bestFit="1" customWidth="1"/>
    <col min="14" max="14" width="10.88671875" style="39" customWidth="1"/>
  </cols>
  <sheetData>
    <row r="1" spans="2:14" x14ac:dyDescent="0.3">
      <c r="B1" s="57" t="s">
        <v>0</v>
      </c>
      <c r="C1" s="58"/>
      <c r="D1" s="58"/>
      <c r="E1" s="59"/>
    </row>
    <row r="3" spans="2:14" x14ac:dyDescent="0.3">
      <c r="B3" s="105" t="s">
        <v>85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9"/>
    </row>
    <row r="4" spans="2:14" x14ac:dyDescent="0.3">
      <c r="B4" s="111" t="s">
        <v>86</v>
      </c>
      <c r="C4" s="86" t="s">
        <v>87</v>
      </c>
      <c r="D4" s="98" t="s">
        <v>88</v>
      </c>
      <c r="E4" s="89" t="s">
        <v>89</v>
      </c>
      <c r="F4" s="62" t="s">
        <v>32</v>
      </c>
      <c r="G4" s="58"/>
      <c r="H4" s="58"/>
      <c r="I4" s="58"/>
      <c r="J4" s="58"/>
      <c r="K4" s="58"/>
      <c r="L4" s="59"/>
      <c r="M4" s="62" t="s">
        <v>33</v>
      </c>
      <c r="N4" s="59"/>
    </row>
    <row r="5" spans="2:14" ht="15" customHeight="1" thickBot="1" x14ac:dyDescent="0.35">
      <c r="B5" s="90"/>
      <c r="C5" s="87"/>
      <c r="D5" s="99"/>
      <c r="E5" s="90"/>
      <c r="F5" s="47" t="s">
        <v>35</v>
      </c>
      <c r="G5" s="47" t="s">
        <v>36</v>
      </c>
      <c r="H5" s="47" t="s">
        <v>37</v>
      </c>
      <c r="I5" s="47" t="s">
        <v>38</v>
      </c>
      <c r="J5" s="47" t="s">
        <v>39</v>
      </c>
      <c r="K5" s="89" t="s">
        <v>40</v>
      </c>
      <c r="L5" s="92"/>
      <c r="M5" s="47" t="s">
        <v>41</v>
      </c>
      <c r="N5" s="47" t="s">
        <v>90</v>
      </c>
    </row>
    <row r="6" spans="2:14" ht="15" customHeight="1" thickTop="1" x14ac:dyDescent="0.3">
      <c r="B6" s="17">
        <v>1</v>
      </c>
      <c r="C6" s="93" t="s">
        <v>91</v>
      </c>
      <c r="D6" s="21" t="s">
        <v>43</v>
      </c>
      <c r="E6" s="17" t="s">
        <v>40</v>
      </c>
      <c r="F6" s="20">
        <v>1</v>
      </c>
      <c r="G6" s="20" t="s">
        <v>45</v>
      </c>
      <c r="H6" s="20">
        <v>10.5</v>
      </c>
      <c r="I6" s="20" t="s">
        <v>46</v>
      </c>
      <c r="J6" s="20" t="s">
        <v>47</v>
      </c>
      <c r="K6" s="112" t="s">
        <v>40</v>
      </c>
      <c r="L6" s="103"/>
      <c r="M6" s="20" t="s">
        <v>48</v>
      </c>
      <c r="N6" s="17" t="s">
        <v>92</v>
      </c>
    </row>
    <row r="7" spans="2:14" x14ac:dyDescent="0.3">
      <c r="B7" s="48">
        <f t="shared" ref="B7:B13" si="0">B6+1</f>
        <v>2</v>
      </c>
      <c r="C7" s="94"/>
      <c r="D7" s="38" t="s">
        <v>50</v>
      </c>
      <c r="E7" s="48" t="s">
        <v>40</v>
      </c>
      <c r="F7" s="5">
        <v>0</v>
      </c>
      <c r="G7" s="5" t="s">
        <v>45</v>
      </c>
      <c r="H7" s="5">
        <v>10.5</v>
      </c>
      <c r="I7" s="5" t="s">
        <v>46</v>
      </c>
      <c r="J7" s="5" t="s">
        <v>47</v>
      </c>
      <c r="K7" s="110" t="s">
        <v>40</v>
      </c>
      <c r="L7" s="59"/>
      <c r="M7" s="5" t="s">
        <v>52</v>
      </c>
      <c r="N7" s="48" t="s">
        <v>92</v>
      </c>
    </row>
    <row r="8" spans="2:14" x14ac:dyDescent="0.3">
      <c r="B8" s="48">
        <f t="shared" si="0"/>
        <v>3</v>
      </c>
      <c r="C8" s="94"/>
      <c r="D8" s="38" t="s">
        <v>54</v>
      </c>
      <c r="E8" s="48" t="s">
        <v>40</v>
      </c>
      <c r="F8" s="3">
        <v>1</v>
      </c>
      <c r="G8" s="3" t="s">
        <v>45</v>
      </c>
      <c r="H8" s="3">
        <v>0</v>
      </c>
      <c r="I8" s="3" t="s">
        <v>46</v>
      </c>
      <c r="J8" s="3" t="s">
        <v>47</v>
      </c>
      <c r="K8" s="3" t="s">
        <v>40</v>
      </c>
      <c r="L8" s="3"/>
      <c r="M8" s="3" t="s">
        <v>56</v>
      </c>
      <c r="N8" s="48" t="s">
        <v>92</v>
      </c>
    </row>
    <row r="9" spans="2:14" x14ac:dyDescent="0.3">
      <c r="B9" s="48">
        <f t="shared" si="0"/>
        <v>4</v>
      </c>
      <c r="C9" s="94"/>
      <c r="D9" s="38" t="s">
        <v>57</v>
      </c>
      <c r="E9" s="48" t="s">
        <v>40</v>
      </c>
      <c r="F9" s="48">
        <v>0</v>
      </c>
      <c r="G9" s="48" t="s">
        <v>45</v>
      </c>
      <c r="H9" s="48">
        <v>0</v>
      </c>
      <c r="I9" s="48" t="s">
        <v>46</v>
      </c>
      <c r="J9" s="48" t="s">
        <v>47</v>
      </c>
      <c r="K9" s="91" t="s">
        <v>40</v>
      </c>
      <c r="L9" s="59"/>
      <c r="M9" s="48" t="s">
        <v>59</v>
      </c>
      <c r="N9" s="48" t="s">
        <v>92</v>
      </c>
    </row>
    <row r="10" spans="2:14" x14ac:dyDescent="0.3">
      <c r="B10" s="48">
        <f t="shared" si="0"/>
        <v>5</v>
      </c>
      <c r="C10" s="94"/>
      <c r="D10" s="38" t="s">
        <v>40</v>
      </c>
      <c r="E10" s="48" t="s">
        <v>70</v>
      </c>
      <c r="F10" s="11">
        <v>1</v>
      </c>
      <c r="G10" s="8" t="s">
        <v>73</v>
      </c>
      <c r="H10" s="8">
        <v>0.01</v>
      </c>
      <c r="I10" s="8" t="s">
        <v>46</v>
      </c>
      <c r="J10" s="8" t="s">
        <v>47</v>
      </c>
      <c r="K10" s="97" t="s">
        <v>40</v>
      </c>
      <c r="L10" s="59"/>
      <c r="M10" s="3" t="s">
        <v>48</v>
      </c>
      <c r="N10" s="48" t="s">
        <v>92</v>
      </c>
    </row>
    <row r="11" spans="2:14" x14ac:dyDescent="0.3">
      <c r="B11" s="48">
        <f t="shared" si="0"/>
        <v>6</v>
      </c>
      <c r="C11" s="94"/>
      <c r="D11" s="38" t="s">
        <v>40</v>
      </c>
      <c r="E11" s="48" t="s">
        <v>75</v>
      </c>
      <c r="F11" s="11">
        <v>2</v>
      </c>
      <c r="G11" s="8" t="s">
        <v>73</v>
      </c>
      <c r="H11" s="8">
        <v>1</v>
      </c>
      <c r="I11" s="8" t="s">
        <v>46</v>
      </c>
      <c r="J11" s="8" t="s">
        <v>47</v>
      </c>
      <c r="K11" s="97" t="s">
        <v>40</v>
      </c>
      <c r="L11" s="59"/>
      <c r="M11" s="2" t="s">
        <v>48</v>
      </c>
      <c r="N11" s="48" t="s">
        <v>92</v>
      </c>
    </row>
    <row r="12" spans="2:14" x14ac:dyDescent="0.3">
      <c r="B12" s="48">
        <f t="shared" si="0"/>
        <v>7</v>
      </c>
      <c r="C12" s="94"/>
      <c r="D12" s="38" t="s">
        <v>40</v>
      </c>
      <c r="E12" s="48" t="s">
        <v>78</v>
      </c>
      <c r="F12" s="11">
        <v>0</v>
      </c>
      <c r="G12" s="8" t="s">
        <v>73</v>
      </c>
      <c r="H12" s="8">
        <v>0.01</v>
      </c>
      <c r="I12" s="8" t="s">
        <v>46</v>
      </c>
      <c r="J12" s="8" t="s">
        <v>47</v>
      </c>
      <c r="K12" s="97" t="s">
        <v>40</v>
      </c>
      <c r="L12" s="59"/>
      <c r="M12" s="2" t="s">
        <v>52</v>
      </c>
      <c r="N12" s="48" t="s">
        <v>92</v>
      </c>
    </row>
    <row r="13" spans="2:14" ht="15" customHeight="1" thickBot="1" x14ac:dyDescent="0.35">
      <c r="B13" s="50">
        <f t="shared" si="0"/>
        <v>8</v>
      </c>
      <c r="C13" s="87"/>
      <c r="D13" s="49" t="s">
        <v>40</v>
      </c>
      <c r="E13" s="50" t="s">
        <v>81</v>
      </c>
      <c r="F13" s="50">
        <v>1</v>
      </c>
      <c r="G13" s="50" t="s">
        <v>73</v>
      </c>
      <c r="H13" s="50">
        <v>0</v>
      </c>
      <c r="I13" s="50" t="s">
        <v>46</v>
      </c>
      <c r="J13" s="50" t="s">
        <v>47</v>
      </c>
      <c r="K13" s="104" t="s">
        <v>40</v>
      </c>
      <c r="L13" s="92"/>
      <c r="M13" s="50" t="s">
        <v>56</v>
      </c>
      <c r="N13" s="50" t="s">
        <v>92</v>
      </c>
    </row>
    <row r="14" spans="2:14" ht="15" customHeight="1" thickTop="1" x14ac:dyDescent="0.3">
      <c r="B14" s="18"/>
      <c r="C14" s="18"/>
      <c r="D14" s="19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2:14" ht="14.4" customHeight="1" x14ac:dyDescent="0.3">
      <c r="B15" s="18" t="s">
        <v>93</v>
      </c>
      <c r="C15" s="18"/>
      <c r="D15" s="19"/>
      <c r="E15" s="18"/>
      <c r="F15" s="4"/>
      <c r="G15" s="4"/>
      <c r="H15" s="4"/>
      <c r="I15" s="4"/>
      <c r="J15" s="4"/>
      <c r="K15" s="88"/>
      <c r="L15" s="56"/>
      <c r="M15" s="4"/>
    </row>
    <row r="16" spans="2:14" ht="15" customHeight="1" thickBot="1" x14ac:dyDescent="0.35">
      <c r="M16" s="4"/>
    </row>
    <row r="17" spans="2:16" ht="15" customHeight="1" thickTop="1" x14ac:dyDescent="0.3">
      <c r="C17" s="80" t="s">
        <v>94</v>
      </c>
      <c r="D17" s="81"/>
      <c r="E17" s="81"/>
      <c r="F17" s="82"/>
      <c r="G17" s="27" t="s">
        <v>95</v>
      </c>
      <c r="H17" s="80" t="s">
        <v>96</v>
      </c>
      <c r="I17" s="81"/>
      <c r="J17" s="81"/>
      <c r="K17" s="81"/>
      <c r="L17" s="82"/>
      <c r="M17" s="80" t="s">
        <v>97</v>
      </c>
      <c r="N17" s="81"/>
      <c r="O17" s="81"/>
      <c r="P17" s="82"/>
    </row>
    <row r="18" spans="2:16" ht="14.4" customHeight="1" x14ac:dyDescent="0.3">
      <c r="B18" s="84" t="s">
        <v>87</v>
      </c>
      <c r="C18" s="100" t="s">
        <v>98</v>
      </c>
      <c r="D18" s="66" t="s">
        <v>99</v>
      </c>
      <c r="E18" s="66" t="s">
        <v>100</v>
      </c>
      <c r="F18" s="95" t="s">
        <v>101</v>
      </c>
      <c r="G18" s="106" t="s">
        <v>102</v>
      </c>
      <c r="H18" s="100" t="s">
        <v>103</v>
      </c>
      <c r="I18" s="101"/>
      <c r="J18" s="66" t="s">
        <v>98</v>
      </c>
      <c r="K18" s="66" t="s">
        <v>99</v>
      </c>
      <c r="L18" s="95" t="s">
        <v>100</v>
      </c>
      <c r="M18" s="108" t="s">
        <v>103</v>
      </c>
      <c r="N18" s="66" t="s">
        <v>98</v>
      </c>
      <c r="O18" s="66" t="s">
        <v>99</v>
      </c>
      <c r="P18" s="95" t="s">
        <v>100</v>
      </c>
    </row>
    <row r="19" spans="2:16" x14ac:dyDescent="0.3">
      <c r="B19" s="85"/>
      <c r="C19" s="109"/>
      <c r="D19" s="63"/>
      <c r="E19" s="63"/>
      <c r="F19" s="96"/>
      <c r="G19" s="107"/>
      <c r="H19" s="102"/>
      <c r="I19" s="103"/>
      <c r="J19" s="63"/>
      <c r="K19" s="63"/>
      <c r="L19" s="96"/>
      <c r="M19" s="109"/>
      <c r="N19" s="63"/>
      <c r="O19" s="63"/>
      <c r="P19" s="96"/>
    </row>
    <row r="20" spans="2:16" x14ac:dyDescent="0.3">
      <c r="B20" s="30" t="s">
        <v>91</v>
      </c>
      <c r="C20" s="26">
        <v>8</v>
      </c>
      <c r="D20" s="28">
        <v>3</v>
      </c>
      <c r="E20" s="28">
        <v>5</v>
      </c>
      <c r="F20" s="29">
        <v>1</v>
      </c>
      <c r="G20" s="32">
        <v>1</v>
      </c>
      <c r="H20" s="83" t="s">
        <v>72</v>
      </c>
      <c r="I20" s="59"/>
      <c r="J20" s="53">
        <v>8</v>
      </c>
      <c r="K20" s="28">
        <v>8</v>
      </c>
      <c r="L20" s="29">
        <v>0</v>
      </c>
      <c r="M20" s="31" t="s">
        <v>72</v>
      </c>
      <c r="N20" s="53">
        <v>19</v>
      </c>
      <c r="O20" s="28">
        <v>19</v>
      </c>
      <c r="P20" s="29">
        <v>0</v>
      </c>
    </row>
    <row r="21" spans="2:16" x14ac:dyDescent="0.3">
      <c r="M21" s="46"/>
    </row>
  </sheetData>
  <mergeCells count="36">
    <mergeCell ref="P18:P19"/>
    <mergeCell ref="K7:L7"/>
    <mergeCell ref="B1:E1"/>
    <mergeCell ref="B4:B5"/>
    <mergeCell ref="E18:E19"/>
    <mergeCell ref="K10:L10"/>
    <mergeCell ref="K6:L6"/>
    <mergeCell ref="C18:C19"/>
    <mergeCell ref="M4:N4"/>
    <mergeCell ref="K18:K19"/>
    <mergeCell ref="H18:I19"/>
    <mergeCell ref="F4:L4"/>
    <mergeCell ref="K13:L13"/>
    <mergeCell ref="B3:N3"/>
    <mergeCell ref="G18:G19"/>
    <mergeCell ref="H17:L17"/>
    <mergeCell ref="K12:L12"/>
    <mergeCell ref="D18:D19"/>
    <mergeCell ref="J18:J19"/>
    <mergeCell ref="M18:M19"/>
    <mergeCell ref="O18:O19"/>
    <mergeCell ref="C17:F17"/>
    <mergeCell ref="H20:I20"/>
    <mergeCell ref="B18:B19"/>
    <mergeCell ref="C4:C5"/>
    <mergeCell ref="M17:P17"/>
    <mergeCell ref="N18:N19"/>
    <mergeCell ref="K15:L15"/>
    <mergeCell ref="E4:E5"/>
    <mergeCell ref="K9:L9"/>
    <mergeCell ref="K5:L5"/>
    <mergeCell ref="C6:C13"/>
    <mergeCell ref="F18:F19"/>
    <mergeCell ref="L18:L19"/>
    <mergeCell ref="K11:L11"/>
    <mergeCell ref="D4:D5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2006-09-16T00:00:00Z</dcterms:created>
  <dcterms:modified xsi:type="dcterms:W3CDTF">2026-03-27T17:47:27Z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